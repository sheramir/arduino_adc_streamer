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arduino_adc_streamer\docs\architecture\"/>
    </mc:Choice>
  </mc:AlternateContent>
  <xr:revisionPtr revIDLastSave="0" documentId="13_ncr:1_{41E4C171-B28A-4848-AFC8-CB8F1134AA8A}" xr6:coauthVersionLast="47" xr6:coauthVersionMax="47" xr10:uidLastSave="{00000000-0000-0000-0000-000000000000}"/>
  <bookViews>
    <workbookView xWindow="-110" yWindow="-110" windowWidth="25820" windowHeight="16220" activeTab="2" xr2:uid="{30DBF44D-DF0D-4D4F-8E14-94CD3583388D}"/>
  </bookViews>
  <sheets>
    <sheet name="Sheet1" sheetId="1" r:id="rId1"/>
    <sheet name="Peak_Gain_from_Sensor" sheetId="2" r:id="rId2"/>
    <sheet name="Peak_Deca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" i="3"/>
  <c r="F2" i="3"/>
  <c r="F3" i="2"/>
  <c r="G3" i="2" s="1"/>
  <c r="F4" i="2"/>
  <c r="G4" i="2" s="1"/>
  <c r="F5" i="2"/>
  <c r="G5" i="2" s="1"/>
  <c r="F6" i="2"/>
  <c r="G6" i="2" s="1"/>
  <c r="F7" i="2"/>
  <c r="G7" i="2" s="1"/>
  <c r="F8" i="2"/>
  <c r="G8" i="2" s="1"/>
  <c r="F9" i="2"/>
  <c r="G9" i="2" s="1"/>
  <c r="F10" i="2"/>
  <c r="G10" i="2" s="1"/>
  <c r="F11" i="2"/>
  <c r="G11" i="2" s="1"/>
  <c r="F12" i="2"/>
  <c r="G12" i="2" s="1"/>
  <c r="F13" i="2"/>
  <c r="G13" i="2" s="1"/>
  <c r="F14" i="2"/>
  <c r="G14" i="2" s="1"/>
  <c r="F15" i="2"/>
  <c r="G15" i="2" s="1"/>
  <c r="F16" i="2"/>
  <c r="G16" i="2" s="1"/>
  <c r="F17" i="2"/>
  <c r="G17" i="2" s="1"/>
  <c r="F18" i="2"/>
  <c r="G18" i="2" s="1"/>
  <c r="F19" i="2"/>
  <c r="G19" i="2" s="1"/>
  <c r="F20" i="2"/>
  <c r="G20" i="2" s="1"/>
  <c r="F21" i="2"/>
  <c r="G21" i="2" s="1"/>
  <c r="F22" i="2"/>
  <c r="G22" i="2" s="1"/>
  <c r="F23" i="2"/>
  <c r="G23" i="2" s="1"/>
  <c r="F24" i="2"/>
  <c r="G24" i="2" s="1"/>
  <c r="F25" i="2"/>
  <c r="G25" i="2" s="1"/>
  <c r="F26" i="2"/>
  <c r="G26" i="2" s="1"/>
  <c r="F27" i="2"/>
  <c r="G27" i="2" s="1"/>
  <c r="F28" i="2"/>
  <c r="G28" i="2" s="1"/>
  <c r="F29" i="2"/>
  <c r="G29" i="2" s="1"/>
  <c r="F30" i="2"/>
  <c r="G30" i="2" s="1"/>
  <c r="F31" i="2"/>
  <c r="G31" i="2" s="1"/>
  <c r="F32" i="2"/>
  <c r="G32" i="2" s="1"/>
  <c r="F33" i="2"/>
  <c r="G33" i="2" s="1"/>
  <c r="F34" i="2"/>
  <c r="G34" i="2" s="1"/>
  <c r="F35" i="2"/>
  <c r="G35" i="2" s="1"/>
  <c r="F36" i="2"/>
  <c r="G36" i="2" s="1"/>
  <c r="F37" i="2"/>
  <c r="G37" i="2" s="1"/>
  <c r="F38" i="2"/>
  <c r="G38" i="2" s="1"/>
  <c r="F39" i="2"/>
  <c r="G39" i="2" s="1"/>
  <c r="F40" i="2"/>
  <c r="G40" i="2" s="1"/>
  <c r="F41" i="2"/>
  <c r="G41" i="2" s="1"/>
  <c r="F42" i="2"/>
  <c r="G42" i="2" s="1"/>
  <c r="F2" i="2"/>
  <c r="G2" i="2" s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4" i="1"/>
  <c r="B2" i="1"/>
  <c r="A3" i="1"/>
</calcChain>
</file>

<file path=xl/sharedStrings.xml><?xml version="1.0" encoding="utf-8"?>
<sst xmlns="http://schemas.openxmlformats.org/spreadsheetml/2006/main" count="20" uniqueCount="20">
  <si>
    <t>t</t>
  </si>
  <si>
    <t>factor</t>
  </si>
  <si>
    <t>Step</t>
  </si>
  <si>
    <t>sensor</t>
  </si>
  <si>
    <t>peak-rate</t>
  </si>
  <si>
    <t>peak-ref</t>
  </si>
  <si>
    <t>peak-gain-cap</t>
  </si>
  <si>
    <t>peak_contribution</t>
  </si>
  <si>
    <t>extrapulated-peak</t>
  </si>
  <si>
    <t>Calculate extrapulated peak gain from 1 sensor</t>
  </si>
  <si>
    <t>decay_amplitude_ref</t>
  </si>
  <si>
    <t>natural_reach</t>
  </si>
  <si>
    <t>min_decay_reach</t>
  </si>
  <si>
    <t>distance-peak-to-sensor</t>
  </si>
  <si>
    <t>decay_reach</t>
  </si>
  <si>
    <t>max_decay_reach</t>
  </si>
  <si>
    <t>peak_gain</t>
  </si>
  <si>
    <t>norm_decay_distance_t</t>
  </si>
  <si>
    <t>distance_from_peak</t>
  </si>
  <si>
    <t>decay_factor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</si>
</sst>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2"/>
      <color rgb="FF00206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1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factor = 1 - 3t² + 2t³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factor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Sheet1!$A$2:$A$52</c:f>
              <c:numCache>
                <c:formatCode>General</c:formatCode>
                <c:ptCount val="5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0.12000000000000001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0.21999999999999997</c:v>
                </c:pt>
                <c:pt idx="12">
                  <c:v>0.23999999999999996</c:v>
                </c:pt>
                <c:pt idx="13">
                  <c:v>0.25999999999999995</c:v>
                </c:pt>
                <c:pt idx="14">
                  <c:v>0.27999999999999997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0.36000000000000004</c:v>
                </c:pt>
                <c:pt idx="19">
                  <c:v>0.38000000000000006</c:v>
                </c:pt>
                <c:pt idx="20">
                  <c:v>0.40000000000000008</c:v>
                </c:pt>
                <c:pt idx="21">
                  <c:v>0.4200000000000001</c:v>
                </c:pt>
                <c:pt idx="22">
                  <c:v>0.44000000000000011</c:v>
                </c:pt>
                <c:pt idx="23">
                  <c:v>0.46000000000000013</c:v>
                </c:pt>
                <c:pt idx="24">
                  <c:v>0.48000000000000015</c:v>
                </c:pt>
                <c:pt idx="25">
                  <c:v>0.50000000000000011</c:v>
                </c:pt>
                <c:pt idx="26">
                  <c:v>0.52000000000000013</c:v>
                </c:pt>
                <c:pt idx="27">
                  <c:v>0.54000000000000015</c:v>
                </c:pt>
                <c:pt idx="28">
                  <c:v>0.56000000000000016</c:v>
                </c:pt>
                <c:pt idx="29">
                  <c:v>0.58000000000000018</c:v>
                </c:pt>
                <c:pt idx="30">
                  <c:v>0.6000000000000002</c:v>
                </c:pt>
                <c:pt idx="31">
                  <c:v>0.62000000000000022</c:v>
                </c:pt>
                <c:pt idx="32">
                  <c:v>0.64000000000000024</c:v>
                </c:pt>
                <c:pt idx="33">
                  <c:v>0.66000000000000025</c:v>
                </c:pt>
                <c:pt idx="34">
                  <c:v>0.68000000000000027</c:v>
                </c:pt>
                <c:pt idx="35">
                  <c:v>0.70000000000000029</c:v>
                </c:pt>
                <c:pt idx="36">
                  <c:v>0.72000000000000031</c:v>
                </c:pt>
                <c:pt idx="37">
                  <c:v>0.74000000000000032</c:v>
                </c:pt>
                <c:pt idx="38">
                  <c:v>0.76000000000000034</c:v>
                </c:pt>
                <c:pt idx="39">
                  <c:v>0.78000000000000036</c:v>
                </c:pt>
                <c:pt idx="40">
                  <c:v>0.80000000000000038</c:v>
                </c:pt>
                <c:pt idx="41">
                  <c:v>0.8200000000000004</c:v>
                </c:pt>
                <c:pt idx="42">
                  <c:v>0.84000000000000041</c:v>
                </c:pt>
                <c:pt idx="43">
                  <c:v>0.86000000000000043</c:v>
                </c:pt>
                <c:pt idx="44">
                  <c:v>0.88000000000000045</c:v>
                </c:pt>
                <c:pt idx="45">
                  <c:v>0.90000000000000047</c:v>
                </c:pt>
                <c:pt idx="46">
                  <c:v>0.92000000000000048</c:v>
                </c:pt>
                <c:pt idx="47">
                  <c:v>0.9400000000000005</c:v>
                </c:pt>
                <c:pt idx="48">
                  <c:v>0.96000000000000052</c:v>
                </c:pt>
                <c:pt idx="49">
                  <c:v>0.98000000000000054</c:v>
                </c:pt>
                <c:pt idx="50">
                  <c:v>1.0000000000000004</c:v>
                </c:pt>
              </c:numCache>
            </c:numRef>
          </c:xVal>
          <c:yVal>
            <c:numRef>
              <c:f>Sheet1!$B$2:$B$52</c:f>
              <c:numCache>
                <c:formatCode>General</c:formatCode>
                <c:ptCount val="51"/>
                <c:pt idx="0">
                  <c:v>1</c:v>
                </c:pt>
                <c:pt idx="1">
                  <c:v>0.99881600000000004</c:v>
                </c:pt>
                <c:pt idx="2">
                  <c:v>0.99532799999999999</c:v>
                </c:pt>
                <c:pt idx="3">
                  <c:v>0.98963199999999996</c:v>
                </c:pt>
                <c:pt idx="4">
                  <c:v>0.98182400000000003</c:v>
                </c:pt>
                <c:pt idx="5">
                  <c:v>0.97199999999999998</c:v>
                </c:pt>
                <c:pt idx="6">
                  <c:v>0.960256</c:v>
                </c:pt>
                <c:pt idx="7">
                  <c:v>0.94668800000000008</c:v>
                </c:pt>
                <c:pt idx="8">
                  <c:v>0.931392</c:v>
                </c:pt>
                <c:pt idx="9">
                  <c:v>0.91446400000000005</c:v>
                </c:pt>
                <c:pt idx="10">
                  <c:v>0.89600000000000002</c:v>
                </c:pt>
                <c:pt idx="11">
                  <c:v>0.87609599999999999</c:v>
                </c:pt>
                <c:pt idx="12">
                  <c:v>0.85484800000000005</c:v>
                </c:pt>
                <c:pt idx="13">
                  <c:v>0.83235200000000009</c:v>
                </c:pt>
                <c:pt idx="14">
                  <c:v>0.80870399999999998</c:v>
                </c:pt>
                <c:pt idx="15">
                  <c:v>0.78400000000000003</c:v>
                </c:pt>
                <c:pt idx="16">
                  <c:v>0.75833600000000001</c:v>
                </c:pt>
                <c:pt idx="17">
                  <c:v>0.73180800000000001</c:v>
                </c:pt>
                <c:pt idx="18">
                  <c:v>0.70451200000000003</c:v>
                </c:pt>
                <c:pt idx="19">
                  <c:v>0.67654399999999992</c:v>
                </c:pt>
                <c:pt idx="20">
                  <c:v>0.64799999999999991</c:v>
                </c:pt>
                <c:pt idx="21">
                  <c:v>0.61897599999999986</c:v>
                </c:pt>
                <c:pt idx="22">
                  <c:v>0.58956799999999987</c:v>
                </c:pt>
                <c:pt idx="23">
                  <c:v>0.55987199999999981</c:v>
                </c:pt>
                <c:pt idx="24">
                  <c:v>0.52998399999999979</c:v>
                </c:pt>
                <c:pt idx="25">
                  <c:v>0.49999999999999983</c:v>
                </c:pt>
                <c:pt idx="26">
                  <c:v>0.47001599999999982</c:v>
                </c:pt>
                <c:pt idx="27">
                  <c:v>0.44012799999999974</c:v>
                </c:pt>
                <c:pt idx="28">
                  <c:v>0.41043199999999974</c:v>
                </c:pt>
                <c:pt idx="29">
                  <c:v>0.38102399999999981</c:v>
                </c:pt>
                <c:pt idx="30">
                  <c:v>0.3519999999999997</c:v>
                </c:pt>
                <c:pt idx="31">
                  <c:v>0.32345599999999963</c:v>
                </c:pt>
                <c:pt idx="32">
                  <c:v>0.29548799999999953</c:v>
                </c:pt>
                <c:pt idx="33">
                  <c:v>0.26819199999999976</c:v>
                </c:pt>
                <c:pt idx="34">
                  <c:v>0.24166399999999966</c:v>
                </c:pt>
                <c:pt idx="35">
                  <c:v>0.21599999999999975</c:v>
                </c:pt>
                <c:pt idx="36">
                  <c:v>0.19129599999999969</c:v>
                </c:pt>
                <c:pt idx="37">
                  <c:v>0.16764799999999958</c:v>
                </c:pt>
                <c:pt idx="38">
                  <c:v>0.14515199999999961</c:v>
                </c:pt>
                <c:pt idx="39">
                  <c:v>0.12390399999999946</c:v>
                </c:pt>
                <c:pt idx="40">
                  <c:v>0.10399999999999965</c:v>
                </c:pt>
                <c:pt idx="41">
                  <c:v>8.5535999999999612E-2</c:v>
                </c:pt>
                <c:pt idx="42">
                  <c:v>6.8607999999999558E-2</c:v>
                </c:pt>
                <c:pt idx="43">
                  <c:v>5.3311999999999804E-2</c:v>
                </c:pt>
                <c:pt idx="44">
                  <c:v>3.974399999999978E-2</c:v>
                </c:pt>
                <c:pt idx="45">
                  <c:v>2.7999999999999803E-2</c:v>
                </c:pt>
                <c:pt idx="46">
                  <c:v>1.8175999999999748E-2</c:v>
                </c:pt>
                <c:pt idx="47">
                  <c:v>1.0367999999999711E-2</c:v>
                </c:pt>
                <c:pt idx="48">
                  <c:v>4.6720000000000095E-3</c:v>
                </c:pt>
                <c:pt idx="49">
                  <c:v>1.1839999999996298E-3</c:v>
                </c:pt>
                <c:pt idx="5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81-412D-9813-2E737771D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4446608"/>
        <c:axId val="1204447568"/>
      </c:scatterChart>
      <c:valAx>
        <c:axId val="1204446608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447568"/>
        <c:crosses val="autoZero"/>
        <c:crossBetween val="midCat"/>
      </c:valAx>
      <c:valAx>
        <c:axId val="120444756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446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Extrapolated peak</a:t>
            </a:r>
          </a:p>
          <a:p>
            <a:pPr>
              <a:defRPr/>
            </a:pPr>
            <a:r>
              <a:rPr lang="en-US"/>
              <a:t>MIN(peak-gain-cap,1+peak-rate*distance-from-sensor/peak-ref)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Peak_Gain_from_Sensor!$F$1</c:f>
              <c:strCache>
                <c:ptCount val="1"/>
                <c:pt idx="0">
                  <c:v>peak_contribution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Peak_Gain_from_Sensor!$E$2:$E$42</c:f>
              <c:numCache>
                <c:formatCode>General</c:formatCode>
                <c:ptCount val="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</c:numCache>
            </c:numRef>
          </c:xVal>
          <c:yVal>
            <c:numRef>
              <c:f>Peak_Gain_from_Sensor!$G$2:$G$42</c:f>
              <c:numCache>
                <c:formatCode>General</c:formatCode>
                <c:ptCount val="41"/>
                <c:pt idx="0">
                  <c:v>1</c:v>
                </c:pt>
                <c:pt idx="1">
                  <c:v>1.032</c:v>
                </c:pt>
                <c:pt idx="2">
                  <c:v>1.0640000000000001</c:v>
                </c:pt>
                <c:pt idx="3">
                  <c:v>1.0960000000000001</c:v>
                </c:pt>
                <c:pt idx="4">
                  <c:v>1.1280000000000001</c:v>
                </c:pt>
                <c:pt idx="5">
                  <c:v>1.1599999999999999</c:v>
                </c:pt>
                <c:pt idx="6">
                  <c:v>1.1919999999999999</c:v>
                </c:pt>
                <c:pt idx="7">
                  <c:v>1.224</c:v>
                </c:pt>
                <c:pt idx="8">
                  <c:v>1.256</c:v>
                </c:pt>
                <c:pt idx="9">
                  <c:v>1.288</c:v>
                </c:pt>
                <c:pt idx="10">
                  <c:v>1.32</c:v>
                </c:pt>
                <c:pt idx="11">
                  <c:v>1.3520000000000001</c:v>
                </c:pt>
                <c:pt idx="12">
                  <c:v>1.3839999999999999</c:v>
                </c:pt>
                <c:pt idx="13">
                  <c:v>1.4159999999999999</c:v>
                </c:pt>
                <c:pt idx="14">
                  <c:v>1.448</c:v>
                </c:pt>
                <c:pt idx="15">
                  <c:v>1.48</c:v>
                </c:pt>
                <c:pt idx="16">
                  <c:v>1.512</c:v>
                </c:pt>
                <c:pt idx="17">
                  <c:v>1.544</c:v>
                </c:pt>
                <c:pt idx="18">
                  <c:v>1.5760000000000001</c:v>
                </c:pt>
                <c:pt idx="19">
                  <c:v>1.6080000000000001</c:v>
                </c:pt>
                <c:pt idx="20">
                  <c:v>1.6400000000000001</c:v>
                </c:pt>
                <c:pt idx="21">
                  <c:v>1.6720000000000002</c:v>
                </c:pt>
                <c:pt idx="22">
                  <c:v>1.7040000000000002</c:v>
                </c:pt>
                <c:pt idx="23">
                  <c:v>1.736</c:v>
                </c:pt>
                <c:pt idx="24">
                  <c:v>1.768</c:v>
                </c:pt>
                <c:pt idx="25">
                  <c:v>1.8</c:v>
                </c:pt>
                <c:pt idx="26">
                  <c:v>1.8320000000000001</c:v>
                </c:pt>
                <c:pt idx="27">
                  <c:v>1.8640000000000001</c:v>
                </c:pt>
                <c:pt idx="28">
                  <c:v>1.8959999999999999</c:v>
                </c:pt>
                <c:pt idx="29">
                  <c:v>1.9279999999999999</c:v>
                </c:pt>
                <c:pt idx="30">
                  <c:v>1.9600000000000002</c:v>
                </c:pt>
                <c:pt idx="31">
                  <c:v>1.9920000000000002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78-4C00-B0AE-FBE472FCA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381888"/>
        <c:axId val="387379488"/>
      </c:scatterChart>
      <c:valAx>
        <c:axId val="387381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from peak to</a:t>
                </a:r>
                <a:r>
                  <a:rPr lang="en-US" baseline="0"/>
                  <a:t> sensor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379488"/>
        <c:crosses val="autoZero"/>
        <c:crossBetween val="midCat"/>
      </c:valAx>
      <c:valAx>
        <c:axId val="38737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381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309916-5C64-D713-4944-0C98EF5BF1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508000</xdr:colOff>
      <xdr:row>6</xdr:row>
      <xdr:rowOff>47624</xdr:rowOff>
    </xdr:from>
    <xdr:to>
      <xdr:col>17</xdr:col>
      <xdr:colOff>457200</xdr:colOff>
      <xdr:row>22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EB81AA-6670-2B0C-5A28-6AD142C98C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120651</xdr:colOff>
      <xdr:row>4</xdr:row>
      <xdr:rowOff>44450</xdr:rowOff>
    </xdr:from>
    <xdr:to>
      <xdr:col>4</xdr:col>
      <xdr:colOff>556833</xdr:colOff>
      <xdr:row>26</xdr:row>
      <xdr:rowOff>135545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661BB0-FA0A-02F2-2593-44EA8AC6E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7901" y="781050"/>
          <a:ext cx="3769932" cy="41423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937CF29-ABF5-4D95-9D48-FF13AD4F194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822a179d-0fef-4e36-94a4-9cb3074444f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C8296-1F21-415A-BFC7-C3852D1FF7D8}">
  <dimension ref="A1:D52"/>
  <sheetViews>
    <sheetView topLeftCell="A4"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D1" s="1" t="s">
        <v>2</v>
      </c>
    </row>
    <row r="2" spans="1:4" x14ac:dyDescent="0.35">
      <c r="A2">
        <v>0</v>
      </c>
      <c r="B2">
        <f>1-3*A2^2+2*A2^3</f>
        <v>1</v>
      </c>
      <c r="D2" s="2">
        <v>0.02</v>
      </c>
    </row>
    <row r="3" spans="1:4" x14ac:dyDescent="0.35">
      <c r="A3">
        <f>A2+$D$2</f>
        <v>0.02</v>
      </c>
      <c r="B3">
        <f t="shared" ref="B3:B52" si="0">1-3*A3^2+2*A3^3</f>
        <v>0.99881600000000004</v>
      </c>
    </row>
    <row r="4" spans="1:4" x14ac:dyDescent="0.35">
      <c r="A4">
        <f t="shared" ref="A4:A52" si="1">A3+$D$2</f>
        <v>0.04</v>
      </c>
      <c r="B4">
        <f t="shared" si="0"/>
        <v>0.99532799999999999</v>
      </c>
    </row>
    <row r="5" spans="1:4" x14ac:dyDescent="0.35">
      <c r="A5">
        <f t="shared" si="1"/>
        <v>0.06</v>
      </c>
      <c r="B5">
        <f t="shared" si="0"/>
        <v>0.98963199999999996</v>
      </c>
    </row>
    <row r="6" spans="1:4" x14ac:dyDescent="0.35">
      <c r="A6">
        <f t="shared" si="1"/>
        <v>0.08</v>
      </c>
      <c r="B6">
        <f t="shared" si="0"/>
        <v>0.98182400000000003</v>
      </c>
    </row>
    <row r="7" spans="1:4" x14ac:dyDescent="0.35">
      <c r="A7">
        <f t="shared" si="1"/>
        <v>0.1</v>
      </c>
      <c r="B7">
        <f t="shared" si="0"/>
        <v>0.97199999999999998</v>
      </c>
    </row>
    <row r="8" spans="1:4" x14ac:dyDescent="0.35">
      <c r="A8">
        <f t="shared" si="1"/>
        <v>0.12000000000000001</v>
      </c>
      <c r="B8">
        <f t="shared" si="0"/>
        <v>0.960256</v>
      </c>
    </row>
    <row r="9" spans="1:4" x14ac:dyDescent="0.35">
      <c r="A9">
        <f t="shared" si="1"/>
        <v>0.14000000000000001</v>
      </c>
      <c r="B9">
        <f t="shared" si="0"/>
        <v>0.94668800000000008</v>
      </c>
    </row>
    <row r="10" spans="1:4" x14ac:dyDescent="0.35">
      <c r="A10">
        <f t="shared" si="1"/>
        <v>0.16</v>
      </c>
      <c r="B10">
        <f t="shared" si="0"/>
        <v>0.931392</v>
      </c>
    </row>
    <row r="11" spans="1:4" x14ac:dyDescent="0.35">
      <c r="A11">
        <f t="shared" si="1"/>
        <v>0.18</v>
      </c>
      <c r="B11">
        <f t="shared" si="0"/>
        <v>0.91446400000000005</v>
      </c>
    </row>
    <row r="12" spans="1:4" x14ac:dyDescent="0.35">
      <c r="A12">
        <f t="shared" si="1"/>
        <v>0.19999999999999998</v>
      </c>
      <c r="B12">
        <f t="shared" si="0"/>
        <v>0.89600000000000002</v>
      </c>
    </row>
    <row r="13" spans="1:4" x14ac:dyDescent="0.35">
      <c r="A13">
        <f t="shared" si="1"/>
        <v>0.21999999999999997</v>
      </c>
      <c r="B13">
        <f t="shared" si="0"/>
        <v>0.87609599999999999</v>
      </c>
    </row>
    <row r="14" spans="1:4" x14ac:dyDescent="0.35">
      <c r="A14">
        <f t="shared" si="1"/>
        <v>0.23999999999999996</v>
      </c>
      <c r="B14">
        <f t="shared" si="0"/>
        <v>0.85484800000000005</v>
      </c>
    </row>
    <row r="15" spans="1:4" x14ac:dyDescent="0.35">
      <c r="A15">
        <f t="shared" si="1"/>
        <v>0.25999999999999995</v>
      </c>
      <c r="B15">
        <f t="shared" si="0"/>
        <v>0.83235200000000009</v>
      </c>
    </row>
    <row r="16" spans="1:4" x14ac:dyDescent="0.35">
      <c r="A16">
        <f t="shared" si="1"/>
        <v>0.27999999999999997</v>
      </c>
      <c r="B16">
        <f t="shared" si="0"/>
        <v>0.80870399999999998</v>
      </c>
    </row>
    <row r="17" spans="1:2" x14ac:dyDescent="0.35">
      <c r="A17">
        <f t="shared" si="1"/>
        <v>0.3</v>
      </c>
      <c r="B17">
        <f t="shared" si="0"/>
        <v>0.78400000000000003</v>
      </c>
    </row>
    <row r="18" spans="1:2" x14ac:dyDescent="0.35">
      <c r="A18">
        <f t="shared" si="1"/>
        <v>0.32</v>
      </c>
      <c r="B18">
        <f t="shared" si="0"/>
        <v>0.75833600000000001</v>
      </c>
    </row>
    <row r="19" spans="1:2" x14ac:dyDescent="0.35">
      <c r="A19">
        <f t="shared" si="1"/>
        <v>0.34</v>
      </c>
      <c r="B19">
        <f t="shared" si="0"/>
        <v>0.73180800000000001</v>
      </c>
    </row>
    <row r="20" spans="1:2" x14ac:dyDescent="0.35">
      <c r="A20">
        <f t="shared" si="1"/>
        <v>0.36000000000000004</v>
      </c>
      <c r="B20">
        <f t="shared" si="0"/>
        <v>0.70451200000000003</v>
      </c>
    </row>
    <row r="21" spans="1:2" x14ac:dyDescent="0.35">
      <c r="A21">
        <f t="shared" si="1"/>
        <v>0.38000000000000006</v>
      </c>
      <c r="B21">
        <f t="shared" si="0"/>
        <v>0.67654399999999992</v>
      </c>
    </row>
    <row r="22" spans="1:2" x14ac:dyDescent="0.35">
      <c r="A22">
        <f t="shared" si="1"/>
        <v>0.40000000000000008</v>
      </c>
      <c r="B22">
        <f t="shared" si="0"/>
        <v>0.64799999999999991</v>
      </c>
    </row>
    <row r="23" spans="1:2" x14ac:dyDescent="0.35">
      <c r="A23">
        <f t="shared" si="1"/>
        <v>0.4200000000000001</v>
      </c>
      <c r="B23">
        <f t="shared" si="0"/>
        <v>0.61897599999999986</v>
      </c>
    </row>
    <row r="24" spans="1:2" x14ac:dyDescent="0.35">
      <c r="A24">
        <f t="shared" si="1"/>
        <v>0.44000000000000011</v>
      </c>
      <c r="B24">
        <f t="shared" si="0"/>
        <v>0.58956799999999987</v>
      </c>
    </row>
    <row r="25" spans="1:2" x14ac:dyDescent="0.35">
      <c r="A25">
        <f t="shared" si="1"/>
        <v>0.46000000000000013</v>
      </c>
      <c r="B25">
        <f t="shared" si="0"/>
        <v>0.55987199999999981</v>
      </c>
    </row>
    <row r="26" spans="1:2" x14ac:dyDescent="0.35">
      <c r="A26">
        <f t="shared" si="1"/>
        <v>0.48000000000000015</v>
      </c>
      <c r="B26">
        <f t="shared" si="0"/>
        <v>0.52998399999999979</v>
      </c>
    </row>
    <row r="27" spans="1:2" x14ac:dyDescent="0.35">
      <c r="A27">
        <f t="shared" si="1"/>
        <v>0.50000000000000011</v>
      </c>
      <c r="B27">
        <f t="shared" si="0"/>
        <v>0.49999999999999983</v>
      </c>
    </row>
    <row r="28" spans="1:2" x14ac:dyDescent="0.35">
      <c r="A28">
        <f t="shared" si="1"/>
        <v>0.52000000000000013</v>
      </c>
      <c r="B28">
        <f t="shared" si="0"/>
        <v>0.47001599999999982</v>
      </c>
    </row>
    <row r="29" spans="1:2" x14ac:dyDescent="0.35">
      <c r="A29">
        <f t="shared" si="1"/>
        <v>0.54000000000000015</v>
      </c>
      <c r="B29">
        <f t="shared" si="0"/>
        <v>0.44012799999999974</v>
      </c>
    </row>
    <row r="30" spans="1:2" x14ac:dyDescent="0.35">
      <c r="A30">
        <f t="shared" si="1"/>
        <v>0.56000000000000016</v>
      </c>
      <c r="B30">
        <f t="shared" si="0"/>
        <v>0.41043199999999974</v>
      </c>
    </row>
    <row r="31" spans="1:2" x14ac:dyDescent="0.35">
      <c r="A31">
        <f t="shared" si="1"/>
        <v>0.58000000000000018</v>
      </c>
      <c r="B31">
        <f t="shared" si="0"/>
        <v>0.38102399999999981</v>
      </c>
    </row>
    <row r="32" spans="1:2" x14ac:dyDescent="0.35">
      <c r="A32">
        <f t="shared" si="1"/>
        <v>0.6000000000000002</v>
      </c>
      <c r="B32">
        <f t="shared" si="0"/>
        <v>0.3519999999999997</v>
      </c>
    </row>
    <row r="33" spans="1:2" x14ac:dyDescent="0.35">
      <c r="A33">
        <f t="shared" si="1"/>
        <v>0.62000000000000022</v>
      </c>
      <c r="B33">
        <f t="shared" si="0"/>
        <v>0.32345599999999963</v>
      </c>
    </row>
    <row r="34" spans="1:2" x14ac:dyDescent="0.35">
      <c r="A34">
        <f t="shared" si="1"/>
        <v>0.64000000000000024</v>
      </c>
      <c r="B34">
        <f t="shared" si="0"/>
        <v>0.29548799999999953</v>
      </c>
    </row>
    <row r="35" spans="1:2" x14ac:dyDescent="0.35">
      <c r="A35">
        <f t="shared" si="1"/>
        <v>0.66000000000000025</v>
      </c>
      <c r="B35">
        <f t="shared" si="0"/>
        <v>0.26819199999999976</v>
      </c>
    </row>
    <row r="36" spans="1:2" x14ac:dyDescent="0.35">
      <c r="A36">
        <f t="shared" si="1"/>
        <v>0.68000000000000027</v>
      </c>
      <c r="B36">
        <f t="shared" si="0"/>
        <v>0.24166399999999966</v>
      </c>
    </row>
    <row r="37" spans="1:2" x14ac:dyDescent="0.35">
      <c r="A37">
        <f t="shared" si="1"/>
        <v>0.70000000000000029</v>
      </c>
      <c r="B37">
        <f t="shared" si="0"/>
        <v>0.21599999999999975</v>
      </c>
    </row>
    <row r="38" spans="1:2" x14ac:dyDescent="0.35">
      <c r="A38">
        <f t="shared" si="1"/>
        <v>0.72000000000000031</v>
      </c>
      <c r="B38">
        <f t="shared" si="0"/>
        <v>0.19129599999999969</v>
      </c>
    </row>
    <row r="39" spans="1:2" x14ac:dyDescent="0.35">
      <c r="A39">
        <f t="shared" si="1"/>
        <v>0.74000000000000032</v>
      </c>
      <c r="B39">
        <f t="shared" si="0"/>
        <v>0.16764799999999958</v>
      </c>
    </row>
    <row r="40" spans="1:2" x14ac:dyDescent="0.35">
      <c r="A40">
        <f t="shared" si="1"/>
        <v>0.76000000000000034</v>
      </c>
      <c r="B40">
        <f t="shared" si="0"/>
        <v>0.14515199999999961</v>
      </c>
    </row>
    <row r="41" spans="1:2" x14ac:dyDescent="0.35">
      <c r="A41">
        <f t="shared" si="1"/>
        <v>0.78000000000000036</v>
      </c>
      <c r="B41">
        <f t="shared" si="0"/>
        <v>0.12390399999999946</v>
      </c>
    </row>
    <row r="42" spans="1:2" x14ac:dyDescent="0.35">
      <c r="A42">
        <f t="shared" si="1"/>
        <v>0.80000000000000038</v>
      </c>
      <c r="B42">
        <f t="shared" si="0"/>
        <v>0.10399999999999965</v>
      </c>
    </row>
    <row r="43" spans="1:2" x14ac:dyDescent="0.35">
      <c r="A43">
        <f t="shared" si="1"/>
        <v>0.8200000000000004</v>
      </c>
      <c r="B43">
        <f t="shared" si="0"/>
        <v>8.5535999999999612E-2</v>
      </c>
    </row>
    <row r="44" spans="1:2" x14ac:dyDescent="0.35">
      <c r="A44">
        <f t="shared" si="1"/>
        <v>0.84000000000000041</v>
      </c>
      <c r="B44">
        <f t="shared" si="0"/>
        <v>6.8607999999999558E-2</v>
      </c>
    </row>
    <row r="45" spans="1:2" x14ac:dyDescent="0.35">
      <c r="A45">
        <f t="shared" si="1"/>
        <v>0.86000000000000043</v>
      </c>
      <c r="B45">
        <f t="shared" si="0"/>
        <v>5.3311999999999804E-2</v>
      </c>
    </row>
    <row r="46" spans="1:2" x14ac:dyDescent="0.35">
      <c r="A46">
        <f t="shared" si="1"/>
        <v>0.88000000000000045</v>
      </c>
      <c r="B46">
        <f t="shared" si="0"/>
        <v>3.974399999999978E-2</v>
      </c>
    </row>
    <row r="47" spans="1:2" x14ac:dyDescent="0.35">
      <c r="A47">
        <f t="shared" si="1"/>
        <v>0.90000000000000047</v>
      </c>
      <c r="B47">
        <f t="shared" si="0"/>
        <v>2.7999999999999803E-2</v>
      </c>
    </row>
    <row r="48" spans="1:2" x14ac:dyDescent="0.35">
      <c r="A48">
        <f t="shared" si="1"/>
        <v>0.92000000000000048</v>
      </c>
      <c r="B48">
        <f t="shared" si="0"/>
        <v>1.8175999999999748E-2</v>
      </c>
    </row>
    <row r="49" spans="1:2" x14ac:dyDescent="0.35">
      <c r="A49">
        <f t="shared" si="1"/>
        <v>0.9400000000000005</v>
      </c>
      <c r="B49">
        <f t="shared" si="0"/>
        <v>1.0367999999999711E-2</v>
      </c>
    </row>
    <row r="50" spans="1:2" x14ac:dyDescent="0.35">
      <c r="A50">
        <f t="shared" si="1"/>
        <v>0.96000000000000052</v>
      </c>
      <c r="B50">
        <f t="shared" si="0"/>
        <v>4.6720000000000095E-3</v>
      </c>
    </row>
    <row r="51" spans="1:2" x14ac:dyDescent="0.35">
      <c r="A51">
        <f t="shared" si="1"/>
        <v>0.98000000000000054</v>
      </c>
      <c r="B51">
        <f t="shared" si="0"/>
        <v>1.1839999999996298E-3</v>
      </c>
    </row>
    <row r="52" spans="1:2" x14ac:dyDescent="0.35">
      <c r="A52">
        <f t="shared" si="1"/>
        <v>1.0000000000000004</v>
      </c>
      <c r="B52">
        <f t="shared" si="0"/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84AE3-E9D1-4BD1-B624-9504AC6DA45C}">
  <dimension ref="A1:K42"/>
  <sheetViews>
    <sheetView workbookViewId="0">
      <selection activeCell="N24" sqref="N24"/>
    </sheetView>
  </sheetViews>
  <sheetFormatPr defaultRowHeight="14.5" x14ac:dyDescent="0.35"/>
  <cols>
    <col min="4" max="4" width="12.36328125" bestFit="1" customWidth="1"/>
    <col min="5" max="5" width="18.453125" bestFit="1" customWidth="1"/>
    <col min="6" max="6" width="16.54296875" customWidth="1"/>
  </cols>
  <sheetData>
    <row r="1" spans="1:11" x14ac:dyDescent="0.35">
      <c r="A1" t="s">
        <v>3</v>
      </c>
      <c r="B1" t="s">
        <v>4</v>
      </c>
      <c r="C1" t="s">
        <v>5</v>
      </c>
      <c r="D1" t="s">
        <v>6</v>
      </c>
      <c r="E1" t="s">
        <v>13</v>
      </c>
      <c r="F1" t="s">
        <v>7</v>
      </c>
      <c r="G1" t="s">
        <v>8</v>
      </c>
    </row>
    <row r="2" spans="1:11" x14ac:dyDescent="0.35">
      <c r="A2">
        <v>1</v>
      </c>
      <c r="B2" s="4">
        <v>0.8</v>
      </c>
      <c r="C2" s="4">
        <v>2.5</v>
      </c>
      <c r="D2" s="4">
        <v>2</v>
      </c>
      <c r="E2">
        <v>0</v>
      </c>
      <c r="F2">
        <f>MIN($D$2,1+$B$2*E2/$C$2)</f>
        <v>1</v>
      </c>
      <c r="G2">
        <f>F2*$A$2</f>
        <v>1</v>
      </c>
    </row>
    <row r="3" spans="1:11" x14ac:dyDescent="0.35">
      <c r="E3">
        <v>0.1</v>
      </c>
      <c r="F3">
        <f t="shared" ref="F3:F42" si="0">MIN($D$2,1+$B$2*E3/$C$2)</f>
        <v>1.032</v>
      </c>
      <c r="G3">
        <f t="shared" ref="G3:G42" si="1">F3*$A$2</f>
        <v>1.032</v>
      </c>
    </row>
    <row r="4" spans="1:11" x14ac:dyDescent="0.35">
      <c r="E4">
        <v>0.2</v>
      </c>
      <c r="F4">
        <f t="shared" si="0"/>
        <v>1.0640000000000001</v>
      </c>
      <c r="G4">
        <f t="shared" si="1"/>
        <v>1.0640000000000001</v>
      </c>
    </row>
    <row r="5" spans="1:11" x14ac:dyDescent="0.35">
      <c r="E5">
        <v>0.3</v>
      </c>
      <c r="F5">
        <f t="shared" si="0"/>
        <v>1.0960000000000001</v>
      </c>
      <c r="G5">
        <f t="shared" si="1"/>
        <v>1.0960000000000001</v>
      </c>
    </row>
    <row r="6" spans="1:11" ht="16" x14ac:dyDescent="0.4">
      <c r="E6">
        <v>0.4</v>
      </c>
      <c r="F6">
        <f t="shared" si="0"/>
        <v>1.1280000000000001</v>
      </c>
      <c r="G6">
        <f t="shared" si="1"/>
        <v>1.1280000000000001</v>
      </c>
      <c r="K6" s="3" t="s">
        <v>9</v>
      </c>
    </row>
    <row r="7" spans="1:11" x14ac:dyDescent="0.35">
      <c r="E7">
        <v>0.5</v>
      </c>
      <c r="F7">
        <f t="shared" si="0"/>
        <v>1.1599999999999999</v>
      </c>
      <c r="G7">
        <f t="shared" si="1"/>
        <v>1.1599999999999999</v>
      </c>
    </row>
    <row r="8" spans="1:11" x14ac:dyDescent="0.35">
      <c r="E8">
        <v>0.6</v>
      </c>
      <c r="F8">
        <f t="shared" si="0"/>
        <v>1.1919999999999999</v>
      </c>
      <c r="G8">
        <f t="shared" si="1"/>
        <v>1.1919999999999999</v>
      </c>
    </row>
    <row r="9" spans="1:11" x14ac:dyDescent="0.35">
      <c r="E9">
        <v>0.7</v>
      </c>
      <c r="F9">
        <f t="shared" si="0"/>
        <v>1.224</v>
      </c>
      <c r="G9">
        <f t="shared" si="1"/>
        <v>1.224</v>
      </c>
    </row>
    <row r="10" spans="1:11" x14ac:dyDescent="0.35">
      <c r="E10">
        <v>0.8</v>
      </c>
      <c r="F10">
        <f t="shared" si="0"/>
        <v>1.256</v>
      </c>
      <c r="G10">
        <f t="shared" si="1"/>
        <v>1.256</v>
      </c>
    </row>
    <row r="11" spans="1:11" x14ac:dyDescent="0.35">
      <c r="E11">
        <v>0.9</v>
      </c>
      <c r="F11">
        <f t="shared" si="0"/>
        <v>1.288</v>
      </c>
      <c r="G11">
        <f t="shared" si="1"/>
        <v>1.288</v>
      </c>
    </row>
    <row r="12" spans="1:11" x14ac:dyDescent="0.35">
      <c r="E12">
        <v>1</v>
      </c>
      <c r="F12">
        <f t="shared" si="0"/>
        <v>1.32</v>
      </c>
      <c r="G12">
        <f t="shared" si="1"/>
        <v>1.32</v>
      </c>
    </row>
    <row r="13" spans="1:11" x14ac:dyDescent="0.35">
      <c r="E13">
        <v>1.1000000000000001</v>
      </c>
      <c r="F13">
        <f t="shared" si="0"/>
        <v>1.3520000000000001</v>
      </c>
      <c r="G13">
        <f t="shared" si="1"/>
        <v>1.3520000000000001</v>
      </c>
    </row>
    <row r="14" spans="1:11" x14ac:dyDescent="0.35">
      <c r="E14">
        <v>1.2</v>
      </c>
      <c r="F14">
        <f t="shared" si="0"/>
        <v>1.3839999999999999</v>
      </c>
      <c r="G14">
        <f t="shared" si="1"/>
        <v>1.3839999999999999</v>
      </c>
    </row>
    <row r="15" spans="1:11" x14ac:dyDescent="0.35">
      <c r="E15">
        <v>1.3</v>
      </c>
      <c r="F15">
        <f t="shared" si="0"/>
        <v>1.4159999999999999</v>
      </c>
      <c r="G15">
        <f t="shared" si="1"/>
        <v>1.4159999999999999</v>
      </c>
    </row>
    <row r="16" spans="1:11" x14ac:dyDescent="0.35">
      <c r="E16">
        <v>1.4</v>
      </c>
      <c r="F16">
        <f t="shared" si="0"/>
        <v>1.448</v>
      </c>
      <c r="G16">
        <f t="shared" si="1"/>
        <v>1.448</v>
      </c>
    </row>
    <row r="17" spans="5:7" x14ac:dyDescent="0.35">
      <c r="E17">
        <v>1.5</v>
      </c>
      <c r="F17">
        <f t="shared" si="0"/>
        <v>1.48</v>
      </c>
      <c r="G17">
        <f t="shared" si="1"/>
        <v>1.48</v>
      </c>
    </row>
    <row r="18" spans="5:7" x14ac:dyDescent="0.35">
      <c r="E18">
        <v>1.6</v>
      </c>
      <c r="F18">
        <f t="shared" si="0"/>
        <v>1.512</v>
      </c>
      <c r="G18">
        <f t="shared" si="1"/>
        <v>1.512</v>
      </c>
    </row>
    <row r="19" spans="5:7" x14ac:dyDescent="0.35">
      <c r="E19">
        <v>1.7</v>
      </c>
      <c r="F19">
        <f t="shared" si="0"/>
        <v>1.544</v>
      </c>
      <c r="G19">
        <f t="shared" si="1"/>
        <v>1.544</v>
      </c>
    </row>
    <row r="20" spans="5:7" x14ac:dyDescent="0.35">
      <c r="E20">
        <v>1.8</v>
      </c>
      <c r="F20">
        <f t="shared" si="0"/>
        <v>1.5760000000000001</v>
      </c>
      <c r="G20">
        <f t="shared" si="1"/>
        <v>1.5760000000000001</v>
      </c>
    </row>
    <row r="21" spans="5:7" x14ac:dyDescent="0.35">
      <c r="E21">
        <v>1.9</v>
      </c>
      <c r="F21">
        <f t="shared" si="0"/>
        <v>1.6080000000000001</v>
      </c>
      <c r="G21">
        <f t="shared" si="1"/>
        <v>1.6080000000000001</v>
      </c>
    </row>
    <row r="22" spans="5:7" x14ac:dyDescent="0.35">
      <c r="E22">
        <v>2</v>
      </c>
      <c r="F22">
        <f t="shared" si="0"/>
        <v>1.6400000000000001</v>
      </c>
      <c r="G22">
        <f t="shared" si="1"/>
        <v>1.6400000000000001</v>
      </c>
    </row>
    <row r="23" spans="5:7" x14ac:dyDescent="0.35">
      <c r="E23">
        <v>2.1</v>
      </c>
      <c r="F23">
        <f t="shared" si="0"/>
        <v>1.6720000000000002</v>
      </c>
      <c r="G23">
        <f t="shared" si="1"/>
        <v>1.6720000000000002</v>
      </c>
    </row>
    <row r="24" spans="5:7" x14ac:dyDescent="0.35">
      <c r="E24">
        <v>2.2000000000000002</v>
      </c>
      <c r="F24">
        <f t="shared" si="0"/>
        <v>1.7040000000000002</v>
      </c>
      <c r="G24">
        <f t="shared" si="1"/>
        <v>1.7040000000000002</v>
      </c>
    </row>
    <row r="25" spans="5:7" x14ac:dyDescent="0.35">
      <c r="E25">
        <v>2.2999999999999998</v>
      </c>
      <c r="F25">
        <f t="shared" si="0"/>
        <v>1.736</v>
      </c>
      <c r="G25">
        <f t="shared" si="1"/>
        <v>1.736</v>
      </c>
    </row>
    <row r="26" spans="5:7" x14ac:dyDescent="0.35">
      <c r="E26">
        <v>2.4</v>
      </c>
      <c r="F26">
        <f t="shared" si="0"/>
        <v>1.768</v>
      </c>
      <c r="G26">
        <f t="shared" si="1"/>
        <v>1.768</v>
      </c>
    </row>
    <row r="27" spans="5:7" x14ac:dyDescent="0.35">
      <c r="E27">
        <v>2.5</v>
      </c>
      <c r="F27">
        <f t="shared" si="0"/>
        <v>1.8</v>
      </c>
      <c r="G27">
        <f t="shared" si="1"/>
        <v>1.8</v>
      </c>
    </row>
    <row r="28" spans="5:7" x14ac:dyDescent="0.35">
      <c r="E28">
        <v>2.6</v>
      </c>
      <c r="F28">
        <f t="shared" si="0"/>
        <v>1.8320000000000001</v>
      </c>
      <c r="G28">
        <f t="shared" si="1"/>
        <v>1.8320000000000001</v>
      </c>
    </row>
    <row r="29" spans="5:7" x14ac:dyDescent="0.35">
      <c r="E29">
        <v>2.7</v>
      </c>
      <c r="F29">
        <f t="shared" si="0"/>
        <v>1.8640000000000001</v>
      </c>
      <c r="G29">
        <f t="shared" si="1"/>
        <v>1.8640000000000001</v>
      </c>
    </row>
    <row r="30" spans="5:7" x14ac:dyDescent="0.35">
      <c r="E30">
        <v>2.8</v>
      </c>
      <c r="F30">
        <f t="shared" si="0"/>
        <v>1.8959999999999999</v>
      </c>
      <c r="G30">
        <f t="shared" si="1"/>
        <v>1.8959999999999999</v>
      </c>
    </row>
    <row r="31" spans="5:7" x14ac:dyDescent="0.35">
      <c r="E31">
        <v>2.9</v>
      </c>
      <c r="F31">
        <f t="shared" si="0"/>
        <v>1.9279999999999999</v>
      </c>
      <c r="G31">
        <f t="shared" si="1"/>
        <v>1.9279999999999999</v>
      </c>
    </row>
    <row r="32" spans="5:7" x14ac:dyDescent="0.35">
      <c r="E32">
        <v>3</v>
      </c>
      <c r="F32">
        <f t="shared" si="0"/>
        <v>1.9600000000000002</v>
      </c>
      <c r="G32">
        <f t="shared" si="1"/>
        <v>1.9600000000000002</v>
      </c>
    </row>
    <row r="33" spans="5:7" x14ac:dyDescent="0.35">
      <c r="E33">
        <v>3.1</v>
      </c>
      <c r="F33">
        <f t="shared" si="0"/>
        <v>1.9920000000000002</v>
      </c>
      <c r="G33">
        <f t="shared" si="1"/>
        <v>1.9920000000000002</v>
      </c>
    </row>
    <row r="34" spans="5:7" x14ac:dyDescent="0.35">
      <c r="E34">
        <v>3.2</v>
      </c>
      <c r="F34">
        <f t="shared" si="0"/>
        <v>2</v>
      </c>
      <c r="G34">
        <f t="shared" si="1"/>
        <v>2</v>
      </c>
    </row>
    <row r="35" spans="5:7" x14ac:dyDescent="0.35">
      <c r="E35">
        <v>3.3</v>
      </c>
      <c r="F35">
        <f t="shared" si="0"/>
        <v>2</v>
      </c>
      <c r="G35">
        <f t="shared" si="1"/>
        <v>2</v>
      </c>
    </row>
    <row r="36" spans="5:7" x14ac:dyDescent="0.35">
      <c r="E36">
        <v>3.4</v>
      </c>
      <c r="F36">
        <f t="shared" si="0"/>
        <v>2</v>
      </c>
      <c r="G36">
        <f t="shared" si="1"/>
        <v>2</v>
      </c>
    </row>
    <row r="37" spans="5:7" x14ac:dyDescent="0.35">
      <c r="E37">
        <v>3.5</v>
      </c>
      <c r="F37">
        <f t="shared" si="0"/>
        <v>2</v>
      </c>
      <c r="G37">
        <f t="shared" si="1"/>
        <v>2</v>
      </c>
    </row>
    <row r="38" spans="5:7" x14ac:dyDescent="0.35">
      <c r="E38">
        <v>3.6</v>
      </c>
      <c r="F38">
        <f t="shared" si="0"/>
        <v>2</v>
      </c>
      <c r="G38">
        <f t="shared" si="1"/>
        <v>2</v>
      </c>
    </row>
    <row r="39" spans="5:7" x14ac:dyDescent="0.35">
      <c r="E39">
        <v>3.7</v>
      </c>
      <c r="F39">
        <f t="shared" si="0"/>
        <v>2</v>
      </c>
      <c r="G39">
        <f t="shared" si="1"/>
        <v>2</v>
      </c>
    </row>
    <row r="40" spans="5:7" x14ac:dyDescent="0.35">
      <c r="E40">
        <v>3.8</v>
      </c>
      <c r="F40">
        <f t="shared" si="0"/>
        <v>2</v>
      </c>
      <c r="G40">
        <f t="shared" si="1"/>
        <v>2</v>
      </c>
    </row>
    <row r="41" spans="5:7" x14ac:dyDescent="0.35">
      <c r="E41">
        <v>3.9</v>
      </c>
      <c r="F41">
        <f t="shared" si="0"/>
        <v>2</v>
      </c>
      <c r="G41">
        <f t="shared" si="1"/>
        <v>2</v>
      </c>
    </row>
    <row r="42" spans="5:7" x14ac:dyDescent="0.35">
      <c r="E42">
        <v>4</v>
      </c>
      <c r="F42">
        <f t="shared" si="0"/>
        <v>2</v>
      </c>
      <c r="G42">
        <f t="shared" si="1"/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E875C-EF0F-475A-9EA9-39C9E7774BAE}">
  <dimension ref="A1:I23"/>
  <sheetViews>
    <sheetView tabSelected="1" workbookViewId="0">
      <selection activeCell="K8" sqref="K8"/>
    </sheetView>
  </sheetViews>
  <sheetFormatPr defaultRowHeight="14.5" x14ac:dyDescent="0.35"/>
  <cols>
    <col min="1" max="1" width="12.26953125" bestFit="1" customWidth="1"/>
    <col min="2" max="2" width="17.7265625" bestFit="1" customWidth="1"/>
    <col min="3" max="3" width="15" bestFit="1" customWidth="1"/>
    <col min="4" max="4" width="15" customWidth="1"/>
    <col min="5" max="5" width="12" bestFit="1" customWidth="1"/>
    <col min="6" max="6" width="12.1796875" customWidth="1"/>
    <col min="7" max="7" width="17.26953125" bestFit="1" customWidth="1"/>
    <col min="8" max="8" width="20.08984375" bestFit="1" customWidth="1"/>
  </cols>
  <sheetData>
    <row r="1" spans="1:9" x14ac:dyDescent="0.35">
      <c r="A1" t="s">
        <v>16</v>
      </c>
      <c r="B1" t="s">
        <v>10</v>
      </c>
      <c r="C1" t="s">
        <v>12</v>
      </c>
      <c r="D1" t="s">
        <v>15</v>
      </c>
      <c r="E1" t="s">
        <v>11</v>
      </c>
      <c r="F1" t="s">
        <v>14</v>
      </c>
      <c r="G1" t="s">
        <v>18</v>
      </c>
      <c r="H1" t="s">
        <v>17</v>
      </c>
      <c r="I1" t="s">
        <v>19</v>
      </c>
    </row>
    <row r="2" spans="1:9" s="5" customFormat="1" x14ac:dyDescent="0.35">
      <c r="A2" s="5">
        <v>1</v>
      </c>
      <c r="B2" s="6">
        <v>1</v>
      </c>
      <c r="C2" s="6">
        <v>0.25</v>
      </c>
      <c r="D2" s="6">
        <v>4</v>
      </c>
      <c r="E2" s="6">
        <v>2.5</v>
      </c>
      <c r="F2" s="5">
        <f>MAX(C2,MIN(D2,
 IF(ABS(A2)/B2&lt;=1,
   C2+(ABS(A2)/B2)*(E2-C2),
   E2+MIN(MAX(ABS(A2)/B2-1,0),1)*(D2-E2)
 )
))</f>
        <v>2.5</v>
      </c>
      <c r="G2" s="5">
        <v>0</v>
      </c>
      <c r="H2" s="5">
        <f>MAX(0,MIN(1,G2/$F$2))</f>
        <v>0</v>
      </c>
      <c r="I2" s="5">
        <f>IF(G2&gt;=$F$2,0,
  1-3*H2^2
   +2*H2^3
)</f>
        <v>1</v>
      </c>
    </row>
    <row r="3" spans="1:9" x14ac:dyDescent="0.35">
      <c r="B3">
        <v>1</v>
      </c>
      <c r="G3" s="5">
        <v>0.2</v>
      </c>
      <c r="H3" s="5">
        <f t="shared" ref="H3:H23" si="0">MAX(0,MIN(1,G3/$F$2))</f>
        <v>0.08</v>
      </c>
      <c r="I3" s="5">
        <f t="shared" ref="I3:I23" si="1">IF(G3&gt;=$F$2,0,
  1-3*H3^2
   +2*H3^3
)</f>
        <v>0.98182400000000003</v>
      </c>
    </row>
    <row r="4" spans="1:9" x14ac:dyDescent="0.35">
      <c r="G4" s="5">
        <v>0.4</v>
      </c>
      <c r="H4" s="5">
        <f t="shared" si="0"/>
        <v>0.16</v>
      </c>
      <c r="I4" s="5">
        <f t="shared" si="1"/>
        <v>0.931392</v>
      </c>
    </row>
    <row r="5" spans="1:9" x14ac:dyDescent="0.35">
      <c r="G5" s="5">
        <v>0.6</v>
      </c>
      <c r="H5" s="5">
        <f t="shared" si="0"/>
        <v>0.24</v>
      </c>
      <c r="I5" s="5">
        <f t="shared" si="1"/>
        <v>0.85484799999999994</v>
      </c>
    </row>
    <row r="6" spans="1:9" x14ac:dyDescent="0.35">
      <c r="G6" s="5">
        <v>0.8</v>
      </c>
      <c r="H6" s="5">
        <f t="shared" si="0"/>
        <v>0.32</v>
      </c>
      <c r="I6" s="5">
        <f t="shared" si="1"/>
        <v>0.75833600000000001</v>
      </c>
    </row>
    <row r="7" spans="1:9" x14ac:dyDescent="0.35">
      <c r="G7" s="5">
        <v>1</v>
      </c>
      <c r="H7" s="5">
        <f t="shared" si="0"/>
        <v>0.4</v>
      </c>
      <c r="I7" s="5">
        <f t="shared" si="1"/>
        <v>0.64799999999999991</v>
      </c>
    </row>
    <row r="8" spans="1:9" x14ac:dyDescent="0.35">
      <c r="G8" s="5">
        <v>1.2</v>
      </c>
      <c r="H8" s="5">
        <f t="shared" si="0"/>
        <v>0.48</v>
      </c>
      <c r="I8" s="5">
        <f t="shared" si="1"/>
        <v>0.52998400000000001</v>
      </c>
    </row>
    <row r="9" spans="1:9" x14ac:dyDescent="0.35">
      <c r="G9" s="5">
        <v>1.4</v>
      </c>
      <c r="H9" s="5">
        <f t="shared" si="0"/>
        <v>0.55999999999999994</v>
      </c>
      <c r="I9" s="5">
        <f t="shared" si="1"/>
        <v>0.41043200000000002</v>
      </c>
    </row>
    <row r="10" spans="1:9" x14ac:dyDescent="0.35">
      <c r="G10" s="5">
        <v>1.6</v>
      </c>
      <c r="H10" s="5">
        <f t="shared" si="0"/>
        <v>0.64</v>
      </c>
      <c r="I10" s="5">
        <f t="shared" si="1"/>
        <v>0.29548799999999997</v>
      </c>
    </row>
    <row r="11" spans="1:9" x14ac:dyDescent="0.35">
      <c r="G11" s="5">
        <v>1.8</v>
      </c>
      <c r="H11" s="5">
        <f t="shared" si="0"/>
        <v>0.72</v>
      </c>
      <c r="I11" s="5">
        <f t="shared" si="1"/>
        <v>0.19129600000000002</v>
      </c>
    </row>
    <row r="12" spans="1:9" x14ac:dyDescent="0.35">
      <c r="G12" s="5">
        <v>2</v>
      </c>
      <c r="H12" s="5">
        <f t="shared" si="0"/>
        <v>0.8</v>
      </c>
      <c r="I12" s="5">
        <f t="shared" si="1"/>
        <v>0.10399999999999987</v>
      </c>
    </row>
    <row r="13" spans="1:9" x14ac:dyDescent="0.35">
      <c r="G13" s="5">
        <v>2.2000000000000002</v>
      </c>
      <c r="H13" s="5">
        <f t="shared" si="0"/>
        <v>0.88000000000000012</v>
      </c>
      <c r="I13" s="5">
        <f t="shared" si="1"/>
        <v>3.974399999999978E-2</v>
      </c>
    </row>
    <row r="14" spans="1:9" x14ac:dyDescent="0.35">
      <c r="G14" s="5">
        <v>2.4</v>
      </c>
      <c r="H14" s="5">
        <f t="shared" si="0"/>
        <v>0.96</v>
      </c>
      <c r="I14" s="5">
        <f t="shared" si="1"/>
        <v>4.6719999999997874E-3</v>
      </c>
    </row>
    <row r="15" spans="1:9" x14ac:dyDescent="0.35">
      <c r="G15" s="5">
        <v>2.6</v>
      </c>
      <c r="H15" s="5">
        <f t="shared" si="0"/>
        <v>1</v>
      </c>
      <c r="I15" s="5">
        <f t="shared" si="1"/>
        <v>0</v>
      </c>
    </row>
    <row r="16" spans="1:9" x14ac:dyDescent="0.35">
      <c r="G16" s="5">
        <v>2.8</v>
      </c>
      <c r="H16" s="5">
        <f t="shared" si="0"/>
        <v>1</v>
      </c>
      <c r="I16" s="5">
        <f t="shared" si="1"/>
        <v>0</v>
      </c>
    </row>
    <row r="17" spans="7:9" x14ac:dyDescent="0.35">
      <c r="G17" s="5">
        <v>3</v>
      </c>
      <c r="H17" s="5">
        <f t="shared" si="0"/>
        <v>1</v>
      </c>
      <c r="I17" s="5">
        <f t="shared" si="1"/>
        <v>0</v>
      </c>
    </row>
    <row r="18" spans="7:9" x14ac:dyDescent="0.35">
      <c r="G18" s="5">
        <v>3.2</v>
      </c>
      <c r="H18" s="5">
        <f t="shared" si="0"/>
        <v>1</v>
      </c>
      <c r="I18" s="5">
        <f t="shared" si="1"/>
        <v>0</v>
      </c>
    </row>
    <row r="19" spans="7:9" x14ac:dyDescent="0.35">
      <c r="G19" s="5">
        <v>3.4</v>
      </c>
      <c r="H19" s="5">
        <f t="shared" si="0"/>
        <v>1</v>
      </c>
      <c r="I19" s="5">
        <f t="shared" si="1"/>
        <v>0</v>
      </c>
    </row>
    <row r="20" spans="7:9" x14ac:dyDescent="0.35">
      <c r="G20" s="5">
        <v>3.6</v>
      </c>
      <c r="H20" s="5">
        <f t="shared" si="0"/>
        <v>1</v>
      </c>
      <c r="I20" s="5">
        <f t="shared" si="1"/>
        <v>0</v>
      </c>
    </row>
    <row r="21" spans="7:9" x14ac:dyDescent="0.35">
      <c r="G21" s="5">
        <v>3.8</v>
      </c>
      <c r="H21" s="5">
        <f t="shared" si="0"/>
        <v>1</v>
      </c>
      <c r="I21" s="5">
        <f t="shared" si="1"/>
        <v>0</v>
      </c>
    </row>
    <row r="22" spans="7:9" x14ac:dyDescent="0.35">
      <c r="G22" s="5">
        <v>4</v>
      </c>
      <c r="H22" s="5">
        <f t="shared" si="0"/>
        <v>1</v>
      </c>
      <c r="I22" s="5">
        <f t="shared" si="1"/>
        <v>0</v>
      </c>
    </row>
    <row r="23" spans="7:9" x14ac:dyDescent="0.35">
      <c r="G23" s="5">
        <v>4.2</v>
      </c>
      <c r="H23" s="5">
        <f t="shared" si="0"/>
        <v>1</v>
      </c>
      <c r="I23" s="5">
        <f t="shared" si="1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Peak_Gain_from_Sensor</vt:lpstr>
      <vt:lpstr>Peak_Decay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Sher</dc:creator>
  <cp:lastModifiedBy>Amir Sher</cp:lastModifiedBy>
  <dcterms:created xsi:type="dcterms:W3CDTF">2026-07-31T20:17:45Z</dcterms:created>
  <dcterms:modified xsi:type="dcterms:W3CDTF">2026-08-04T15:58:33Z</dcterms:modified>
</cp:coreProperties>
</file>